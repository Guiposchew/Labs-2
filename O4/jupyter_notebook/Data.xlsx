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OneDrive\Área de Trabalho\UniHW\So 2025\Labs 2\O4\"/>
    </mc:Choice>
  </mc:AlternateContent>
  <xr:revisionPtr revIDLastSave="0" documentId="13_ncr:1_{70DEF533-90C3-4FBD-9BE3-061CB1D215E9}" xr6:coauthVersionLast="36" xr6:coauthVersionMax="36" xr10:uidLastSave="{00000000-0000-0000-0000-000000000000}"/>
  <bookViews>
    <workbookView xWindow="0" yWindow="0" windowWidth="15345" windowHeight="4470" xr2:uid="{F9E4AD3F-9E11-4DBF-8932-939B8D510F77}"/>
  </bookViews>
  <sheets>
    <sheet name="Task 1" sheetId="1" r:id="rId1"/>
    <sheet name="Task 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C3" i="2" l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G3" i="1"/>
  <c r="G4" i="1"/>
  <c r="G5" i="1"/>
  <c r="G6" i="1"/>
  <c r="G7" i="1"/>
  <c r="G8" i="1"/>
  <c r="G9" i="1"/>
  <c r="G10" i="1"/>
  <c r="G11" i="1"/>
  <c r="G2" i="1"/>
  <c r="D2" i="1"/>
</calcChain>
</file>

<file path=xl/sharedStrings.xml><?xml version="1.0" encoding="utf-8"?>
<sst xmlns="http://schemas.openxmlformats.org/spreadsheetml/2006/main" count="36" uniqueCount="25">
  <si>
    <t>D_1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</si>
  <si>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</si>
  <si>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</si>
  <si>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</si>
  <si>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</si>
  <si>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</si>
  <si>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</si>
  <si>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</si>
  <si>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</si>
  <si>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</si>
  <si>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</si>
  <si>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lens 1_lens 2</t>
  </si>
  <si>
    <t>(mm)</t>
  </si>
  <si>
    <t>target _lens s</t>
  </si>
  <si>
    <t>lens s_eye</t>
  </si>
  <si>
    <t>Scale 1</t>
  </si>
  <si>
    <t>Scale 2</t>
  </si>
  <si>
    <t>Mag</t>
  </si>
  <si>
    <t>Screen</t>
  </si>
  <si>
    <t>D_2</t>
  </si>
  <si>
    <t>Lens I</t>
  </si>
  <si>
    <t>Lens II</t>
  </si>
  <si>
    <t>g'</t>
  </si>
  <si>
    <t>A</t>
  </si>
  <si>
    <t>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</si>
</sst>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E419-644E-4967-A69C-5FA190E26762}">
  <dimension ref="A1:J11"/>
  <sheetViews>
    <sheetView tabSelected="1" zoomScale="196" zoomScaleNormal="196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4.28515625" customWidth="1"/>
    <col min="3" max="3" width="13.85546875" customWidth="1"/>
    <col min="4" max="4" width="14.85546875" customWidth="1"/>
    <col min="5" max="5" width="14.5703125" customWidth="1"/>
    <col min="6" max="6" width="11" customWidth="1"/>
  </cols>
  <sheetData>
    <row r="1" spans="1:10" ht="33" customHeight="1" x14ac:dyDescent="0.25">
      <c r="A1" s="4" t="s">
        <v>12</v>
      </c>
      <c r="B1" s="5" t="s">
        <v>13</v>
      </c>
      <c r="C1" s="5" t="s">
        <v>11</v>
      </c>
      <c r="D1" s="5" t="s">
        <v>14</v>
      </c>
      <c r="E1" s="5" t="s">
        <v>15</v>
      </c>
      <c r="F1" s="6" t="s">
        <v>16</v>
      </c>
      <c r="G1" s="6" t="s">
        <v>17</v>
      </c>
      <c r="H1" s="5" t="s">
        <v>22</v>
      </c>
      <c r="I1" s="5" t="s">
        <v>23</v>
      </c>
      <c r="J1" s="5" t="s">
        <v>24</v>
      </c>
    </row>
    <row r="2" spans="1:10" x14ac:dyDescent="0.25">
      <c r="A2" s="1" t="s">
        <v>1</v>
      </c>
      <c r="B2" s="2">
        <f>308-20</f>
        <v>288</v>
      </c>
      <c r="C2" s="2">
        <v>272</v>
      </c>
      <c r="D2" s="2">
        <f>533-308</f>
        <v>225</v>
      </c>
      <c r="E2" s="2">
        <v>2.71</v>
      </c>
      <c r="F2" s="1">
        <v>5.42</v>
      </c>
      <c r="G2" s="1">
        <f>-E2+F2</f>
        <v>2.71</v>
      </c>
      <c r="H2" s="1">
        <f>B2+20</f>
        <v>308</v>
      </c>
      <c r="I2" s="1">
        <v>533</v>
      </c>
      <c r="J2" s="1">
        <f>I2-H2</f>
        <v>225</v>
      </c>
    </row>
    <row r="3" spans="1:10" x14ac:dyDescent="0.25">
      <c r="A3" s="1" t="s">
        <v>2</v>
      </c>
      <c r="B3" s="1">
        <f>283-20</f>
        <v>263</v>
      </c>
      <c r="C3" s="2">
        <v>272</v>
      </c>
      <c r="D3" s="1">
        <f>800-282</f>
        <v>518</v>
      </c>
      <c r="E3" s="1">
        <v>0.71</v>
      </c>
      <c r="F3" s="1">
        <v>4.6399999999999997</v>
      </c>
      <c r="G3" s="1">
        <f t="shared" ref="G3:G11" si="0">-E3+F3</f>
        <v>3.9299999999999997</v>
      </c>
      <c r="H3" s="1">
        <f t="shared" ref="H3:H11" si="1">B3+20</f>
        <v>283</v>
      </c>
      <c r="I3" s="1">
        <v>800</v>
      </c>
      <c r="J3" s="1">
        <f t="shared" ref="J3:J11" si="2">I3-H3</f>
        <v>517</v>
      </c>
    </row>
    <row r="4" spans="1:10" x14ac:dyDescent="0.25">
      <c r="A4" s="1" t="s">
        <v>3</v>
      </c>
      <c r="B4" s="1">
        <f>279-20</f>
        <v>259</v>
      </c>
      <c r="C4" s="2">
        <v>272</v>
      </c>
      <c r="D4" s="1">
        <f>850-279</f>
        <v>571</v>
      </c>
      <c r="E4" s="1">
        <v>0.81</v>
      </c>
      <c r="F4" s="1">
        <v>4.9800000000000004</v>
      </c>
      <c r="G4" s="1">
        <f t="shared" si="0"/>
        <v>4.17</v>
      </c>
      <c r="H4" s="1">
        <f t="shared" si="1"/>
        <v>279</v>
      </c>
      <c r="I4" s="1">
        <v>850</v>
      </c>
      <c r="J4" s="1">
        <f t="shared" si="2"/>
        <v>571</v>
      </c>
    </row>
    <row r="5" spans="1:10" x14ac:dyDescent="0.25">
      <c r="A5" s="1" t="s">
        <v>4</v>
      </c>
      <c r="B5" s="1">
        <f>276-20</f>
        <v>256</v>
      </c>
      <c r="C5" s="2">
        <v>272</v>
      </c>
      <c r="D5" s="1">
        <f>900-276</f>
        <v>624</v>
      </c>
      <c r="E5" s="1">
        <v>0.95</v>
      </c>
      <c r="F5" s="1">
        <v>5.43</v>
      </c>
      <c r="G5" s="1">
        <f t="shared" si="0"/>
        <v>4.4799999999999995</v>
      </c>
      <c r="H5" s="1">
        <f t="shared" si="1"/>
        <v>276</v>
      </c>
      <c r="I5" s="1">
        <v>900</v>
      </c>
      <c r="J5" s="1">
        <f t="shared" si="2"/>
        <v>624</v>
      </c>
    </row>
    <row r="6" spans="1:10" x14ac:dyDescent="0.25">
      <c r="A6" s="1" t="s">
        <v>5</v>
      </c>
      <c r="B6" s="1">
        <f>274-20</f>
        <v>254</v>
      </c>
      <c r="C6" s="2">
        <v>272</v>
      </c>
      <c r="D6" s="1">
        <f>950-274</f>
        <v>676</v>
      </c>
      <c r="E6" s="1">
        <v>1.21</v>
      </c>
      <c r="F6" s="1">
        <v>5.9</v>
      </c>
      <c r="G6" s="1">
        <f t="shared" si="0"/>
        <v>4.6900000000000004</v>
      </c>
      <c r="H6" s="1">
        <f t="shared" si="1"/>
        <v>274</v>
      </c>
      <c r="I6" s="1">
        <v>950</v>
      </c>
      <c r="J6" s="1">
        <f t="shared" si="2"/>
        <v>676</v>
      </c>
    </row>
    <row r="7" spans="1:10" x14ac:dyDescent="0.25">
      <c r="A7" s="1" t="s">
        <v>6</v>
      </c>
      <c r="B7" s="1">
        <f>272-20</f>
        <v>252</v>
      </c>
      <c r="C7" s="2">
        <v>272</v>
      </c>
      <c r="D7" s="1">
        <f>1000-272</f>
        <v>728</v>
      </c>
      <c r="E7" s="1">
        <v>1.43</v>
      </c>
      <c r="F7" s="1">
        <v>6.33</v>
      </c>
      <c r="G7" s="1">
        <f t="shared" si="0"/>
        <v>4.9000000000000004</v>
      </c>
      <c r="H7" s="1">
        <f t="shared" si="1"/>
        <v>272</v>
      </c>
      <c r="I7" s="1">
        <v>1000</v>
      </c>
      <c r="J7" s="1">
        <f t="shared" si="2"/>
        <v>728</v>
      </c>
    </row>
    <row r="8" spans="1:10" x14ac:dyDescent="0.25">
      <c r="A8" s="1" t="s">
        <v>7</v>
      </c>
      <c r="B8" s="1">
        <f>270-20</f>
        <v>250</v>
      </c>
      <c r="C8" s="2">
        <v>272</v>
      </c>
      <c r="D8" s="1">
        <f>1050-270</f>
        <v>780</v>
      </c>
      <c r="E8" s="1">
        <v>1.53</v>
      </c>
      <c r="F8" s="1">
        <v>6.65</v>
      </c>
      <c r="G8" s="1">
        <f t="shared" si="0"/>
        <v>5.12</v>
      </c>
      <c r="H8" s="1">
        <f t="shared" si="1"/>
        <v>270</v>
      </c>
      <c r="I8" s="1">
        <v>1050</v>
      </c>
      <c r="J8" s="1">
        <f t="shared" si="2"/>
        <v>780</v>
      </c>
    </row>
    <row r="9" spans="1:10" x14ac:dyDescent="0.25">
      <c r="A9" s="1" t="s">
        <v>8</v>
      </c>
      <c r="B9" s="1">
        <f>269-20</f>
        <v>249</v>
      </c>
      <c r="C9" s="2">
        <v>272</v>
      </c>
      <c r="D9" s="1">
        <f>1100-269</f>
        <v>831</v>
      </c>
      <c r="E9" s="1">
        <v>1.77</v>
      </c>
      <c r="F9" s="1">
        <v>7.04</v>
      </c>
      <c r="G9" s="1">
        <f t="shared" si="0"/>
        <v>5.27</v>
      </c>
      <c r="H9" s="1">
        <f t="shared" si="1"/>
        <v>269</v>
      </c>
      <c r="I9" s="1">
        <v>1100</v>
      </c>
      <c r="J9" s="1">
        <f t="shared" si="2"/>
        <v>831</v>
      </c>
    </row>
    <row r="10" spans="1:10" x14ac:dyDescent="0.25">
      <c r="A10" s="1" t="s">
        <v>9</v>
      </c>
      <c r="B10" s="1">
        <f>267-20</f>
        <v>247</v>
      </c>
      <c r="C10" s="2">
        <v>272</v>
      </c>
      <c r="D10" s="1">
        <f>1150-267</f>
        <v>883</v>
      </c>
      <c r="E10" s="1">
        <v>2.0099999999999998</v>
      </c>
      <c r="F10" s="1">
        <v>7.63</v>
      </c>
      <c r="G10" s="1">
        <f t="shared" si="0"/>
        <v>5.62</v>
      </c>
      <c r="H10" s="1">
        <f t="shared" si="1"/>
        <v>267</v>
      </c>
      <c r="I10" s="1">
        <v>1150</v>
      </c>
      <c r="J10" s="1">
        <f t="shared" si="2"/>
        <v>883</v>
      </c>
    </row>
    <row r="11" spans="1:10" x14ac:dyDescent="0.25">
      <c r="A11" s="3" t="s">
        <v>10</v>
      </c>
      <c r="B11" s="1">
        <f>265-20</f>
        <v>245</v>
      </c>
      <c r="C11" s="2">
        <v>272</v>
      </c>
      <c r="D11" s="1">
        <f>1200-265</f>
        <v>935</v>
      </c>
      <c r="E11" s="1">
        <v>2.2799999999999998</v>
      </c>
      <c r="F11" s="1">
        <v>8.0299999999999994</v>
      </c>
      <c r="G11" s="1">
        <f t="shared" si="0"/>
        <v>5.75</v>
      </c>
      <c r="H11" s="1">
        <f t="shared" si="1"/>
        <v>265</v>
      </c>
      <c r="I11" s="1">
        <v>1200</v>
      </c>
      <c r="J11" s="1">
        <f t="shared" si="2"/>
        <v>935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C292-0FA6-426B-BBF8-B3C39F37340D}">
  <dimension ref="A1:I6"/>
  <sheetViews>
    <sheetView zoomScale="190" zoomScaleNormal="190" workbookViewId="0">
      <selection activeCell="I6" sqref="I6"/>
    </sheetView>
  </sheetViews>
  <sheetFormatPr defaultRowHeight="15" x14ac:dyDescent="0.25"/>
  <cols>
    <col min="3" max="3" width="11.85546875" customWidth="1"/>
    <col min="4" max="4" width="13.85546875" customWidth="1"/>
  </cols>
  <sheetData>
    <row r="1" spans="1:9" x14ac:dyDescent="0.25">
      <c r="A1" s="4" t="s">
        <v>20</v>
      </c>
      <c r="F1" s="4" t="s">
        <v>21</v>
      </c>
    </row>
    <row r="2" spans="1:9" x14ac:dyDescent="0.25">
      <c r="A2" s="4" t="s">
        <v>12</v>
      </c>
      <c r="B2" s="4" t="s">
        <v>18</v>
      </c>
      <c r="C2" s="4" t="s">
        <v>0</v>
      </c>
      <c r="D2" s="4" t="s">
        <v>19</v>
      </c>
      <c r="F2" s="4" t="s">
        <v>12</v>
      </c>
      <c r="G2" s="4" t="s">
        <v>18</v>
      </c>
      <c r="H2" s="4" t="s">
        <v>0</v>
      </c>
      <c r="I2" s="4" t="s">
        <v>19</v>
      </c>
    </row>
    <row r="3" spans="1:9" x14ac:dyDescent="0.25">
      <c r="A3" s="1" t="s">
        <v>1</v>
      </c>
      <c r="B3" s="1">
        <v>1030</v>
      </c>
      <c r="C3" s="1">
        <f>154-20</f>
        <v>134</v>
      </c>
      <c r="D3" s="1">
        <v>936</v>
      </c>
      <c r="F3" s="1" t="s">
        <v>1</v>
      </c>
      <c r="G3" s="1">
        <v>1975</v>
      </c>
      <c r="H3" s="1">
        <v>437</v>
      </c>
      <c r="I3" s="1">
        <v>1578</v>
      </c>
    </row>
    <row r="4" spans="1:9" x14ac:dyDescent="0.25">
      <c r="A4" s="1" t="s">
        <v>2</v>
      </c>
      <c r="B4" s="1">
        <v>1300</v>
      </c>
      <c r="C4" s="1">
        <v>151</v>
      </c>
      <c r="D4" s="1">
        <v>1207</v>
      </c>
      <c r="F4" s="1" t="s">
        <v>2</v>
      </c>
      <c r="G4" s="1">
        <v>1862</v>
      </c>
      <c r="H4" s="1">
        <v>453</v>
      </c>
      <c r="I4" s="1">
        <v>1473</v>
      </c>
    </row>
    <row r="5" spans="1:9" x14ac:dyDescent="0.25">
      <c r="A5" s="1" t="s">
        <v>3</v>
      </c>
      <c r="B5" s="1">
        <v>1500</v>
      </c>
      <c r="C5" s="1">
        <v>149</v>
      </c>
      <c r="D5" s="1">
        <v>1409</v>
      </c>
      <c r="F5" s="1" t="s">
        <v>3</v>
      </c>
      <c r="G5" s="1">
        <v>1751</v>
      </c>
      <c r="H5" s="1">
        <v>459</v>
      </c>
      <c r="I5" s="1">
        <v>1336</v>
      </c>
    </row>
    <row r="6" spans="1:9" x14ac:dyDescent="0.25">
      <c r="I6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2025-04-16T07:41:09Z</dcterms:created>
  <dcterms:modified xsi:type="dcterms:W3CDTF">2025-04-21T16:41:29Z</dcterms:modified>
</cp:coreProperties>
</file>